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130" documentId="11_E60897F41BE170836B02CE998F75CCDC64E183C8" xr6:coauthVersionLast="47" xr6:coauthVersionMax="47" xr10:uidLastSave="{F23BB118-901F-4B65-8506-2E657A6623E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2" i="1"/>
  <c r="M16" i="1"/>
  <c r="M15" i="1"/>
  <c r="M4" i="1"/>
  <c r="H10" i="1"/>
  <c r="H2" i="1"/>
  <c r="H3" i="1"/>
  <c r="H4" i="1"/>
  <c r="H5" i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M10" i="1"/>
  <c r="M9" i="1"/>
  <c r="M6" i="1"/>
  <c r="M5" i="1"/>
</calcChain>
</file>

<file path=xl/sharedStrings.xml><?xml version="1.0" encoding="utf-8"?>
<sst xmlns="http://schemas.openxmlformats.org/spreadsheetml/2006/main" count="157" uniqueCount="108">
  <si>
    <t>Product ID</t>
  </si>
  <si>
    <t>COUNTRY CODE</t>
  </si>
  <si>
    <t>MONTHLY</t>
  </si>
  <si>
    <t>Product Name</t>
  </si>
  <si>
    <t>Brand Name</t>
  </si>
  <si>
    <t>Price ($)</t>
  </si>
  <si>
    <t>Price Range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</si>
  <si>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</si>
  <si>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</si>
  <si>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</si>
  <si>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</si>
  <si>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</si>
  <si>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</si>
  <si>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</si>
  <si>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</si>
  <si>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</si>
  <si>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</si>
  <si>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Sum, Count, Average</t>
  </si>
  <si>
    <t>03-MAR-US</t>
  </si>
  <si>
    <t>Coffee Maker</t>
  </si>
  <si>
    <t>Keurig</t>
  </si>
  <si>
    <t>Kitchen</t>
  </si>
  <si>
    <t>Total price of products</t>
  </si>
  <si>
    <t>11-APR-US</t>
  </si>
  <si>
    <t>Smartphone</t>
  </si>
  <si>
    <t>Samsung</t>
  </si>
  <si>
    <t>No: of products</t>
  </si>
  <si>
    <t>22-MAY-US</t>
  </si>
  <si>
    <t>Backpack</t>
  </si>
  <si>
    <t>North Face</t>
  </si>
  <si>
    <t>Outdoor</t>
  </si>
  <si>
    <t>Average price</t>
  </si>
  <si>
    <t>07-JUN-UK</t>
  </si>
  <si>
    <t>Headphones</t>
  </si>
  <si>
    <t>Sony</t>
  </si>
  <si>
    <t>19-JUL-UK</t>
  </si>
  <si>
    <t>T-shirt</t>
  </si>
  <si>
    <t>Adidas</t>
  </si>
  <si>
    <t>Min and Max</t>
  </si>
  <si>
    <t>23-AUG-UK</t>
  </si>
  <si>
    <t>Blender</t>
  </si>
  <si>
    <t>Ninja</t>
  </si>
  <si>
    <t>Min Price</t>
  </si>
  <si>
    <t>05-SEP-UK</t>
  </si>
  <si>
    <t>Tablet</t>
  </si>
  <si>
    <t>Apple</t>
  </si>
  <si>
    <t>Max Price</t>
  </si>
  <si>
    <t>14-OCT-UK</t>
  </si>
  <si>
    <t>Hiking Boots</t>
  </si>
  <si>
    <t>Timberland</t>
  </si>
  <si>
    <t>17-JUN-IN</t>
  </si>
  <si>
    <t>HP</t>
  </si>
  <si>
    <t>IF Function</t>
  </si>
  <si>
    <t>25-NOV-AU</t>
  </si>
  <si>
    <t>08-DEC-DE</t>
  </si>
  <si>
    <t>Nespresso</t>
  </si>
  <si>
    <t>SUMIF and COUNTIF</t>
  </si>
  <si>
    <t>18-FEB-CA</t>
  </si>
  <si>
    <t>Smartwatch</t>
  </si>
  <si>
    <t>Fitbit</t>
  </si>
  <si>
    <t xml:space="preserve">SUMIF </t>
  </si>
  <si>
    <t>16-APR-ES</t>
  </si>
  <si>
    <t>Bose</t>
  </si>
  <si>
    <t>COUNTIF</t>
  </si>
  <si>
    <t>21-AUG-CA</t>
  </si>
  <si>
    <t>Laptop Bag</t>
  </si>
  <si>
    <t>Samsonite</t>
  </si>
  <si>
    <t>Accessories</t>
  </si>
  <si>
    <t>20-AUG-CN</t>
  </si>
  <si>
    <t>Huawei</t>
  </si>
  <si>
    <t>LEFT, RIGHT, MID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</si>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</sst>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readingOrder="1"/>
    </xf>
    <xf numFmtId="0" fontId="1" fillId="2" borderId="10" xfId="0" applyFont="1" applyFill="1" applyBorder="1" applyAlignment="1">
      <alignment vertical="center" readingOrder="1"/>
    </xf>
    <xf numFmtId="0" fontId="1" fillId="2" borderId="2" xfId="0" applyFont="1" applyFill="1" applyBorder="1" applyAlignment="1">
      <alignment vertical="center" readingOrder="1"/>
    </xf>
    <xf numFmtId="0" fontId="1" fillId="2" borderId="3" xfId="0" applyFont="1" applyFill="1" applyBorder="1" applyAlignment="1">
      <alignment vertical="center" readingOrder="1"/>
    </xf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 readingOrder="1"/>
    </xf>
    <xf numFmtId="0" fontId="2" fillId="0" borderId="11" xfId="0" applyFont="1" applyBorder="1" applyAlignment="1">
      <alignment vertical="center" readingOrder="1"/>
    </xf>
    <xf numFmtId="0" fontId="2" fillId="0" borderId="5" xfId="0" applyFont="1" applyBorder="1" applyAlignment="1">
      <alignment vertical="center" readingOrder="1"/>
    </xf>
    <xf numFmtId="0" fontId="2" fillId="0" borderId="6" xfId="0" applyFont="1" applyBorder="1" applyAlignment="1">
      <alignment vertical="center" readingOrder="1"/>
    </xf>
    <xf numFmtId="0" fontId="2" fillId="3" borderId="4" xfId="0" applyFont="1" applyFill="1" applyBorder="1" applyAlignment="1">
      <alignment vertical="center" readingOrder="1"/>
    </xf>
    <xf numFmtId="0" fontId="2" fillId="3" borderId="5" xfId="0" applyFont="1" applyFill="1" applyBorder="1" applyAlignment="1">
      <alignment vertical="center" readingOrder="1"/>
    </xf>
    <xf numFmtId="0" fontId="2" fillId="3" borderId="6" xfId="0" applyFont="1" applyFill="1" applyBorder="1" applyAlignment="1">
      <alignment vertical="center" readingOrder="1"/>
    </xf>
    <xf numFmtId="0" fontId="4" fillId="0" borderId="0" xfId="0" applyFont="1" applyAlignment="1">
      <alignment vertical="center"/>
    </xf>
    <xf numFmtId="0" fontId="2" fillId="3" borderId="7" xfId="0" applyFont="1" applyFill="1" applyBorder="1" applyAlignment="1">
      <alignment vertical="center" readingOrder="1"/>
    </xf>
    <xf numFmtId="0" fontId="2" fillId="3" borderId="8" xfId="0" applyFont="1" applyFill="1" applyBorder="1" applyAlignment="1">
      <alignment vertical="center" readingOrder="1"/>
    </xf>
    <xf numFmtId="0" fontId="2" fillId="3" borderId="9" xfId="0" applyFont="1" applyFill="1" applyBorder="1" applyAlignment="1">
      <alignment vertical="center" readingOrder="1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sqref="A1:XFD1048576"/>
    </sheetView>
  </sheetViews>
  <sheetFormatPr defaultRowHeight="15"/>
  <cols>
    <col min="1" max="1" width="9.140625" style="6"/>
    <col min="2" max="2" width="13.140625" style="6" customWidth="1"/>
    <col min="3" max="3" width="17" style="6" customWidth="1"/>
    <col min="4" max="4" width="11.28515625" style="6" customWidth="1"/>
    <col min="5" max="5" width="20.5703125" style="6" customWidth="1"/>
    <col min="6" max="6" width="21.5703125" style="6" customWidth="1"/>
    <col min="7" max="7" width="13" style="6" customWidth="1"/>
    <col min="8" max="8" width="14.5703125" style="6" customWidth="1"/>
    <col min="9" max="9" width="9.140625" style="6" customWidth="1"/>
    <col min="10" max="10" width="19.140625" style="6" customWidth="1"/>
    <col min="11" max="11" width="9.140625" style="6"/>
    <col min="12" max="12" width="20" style="6" customWidth="1"/>
    <col min="13" max="14" width="9.140625" style="6"/>
    <col min="15" max="15" width="19.5703125" style="6" customWidth="1"/>
    <col min="16" max="16384" width="9.140625" style="6"/>
  </cols>
  <sheetData>
    <row r="1" spans="1:13">
      <c r="A1" s="18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3">
      <c r="A2" s="6" t="str">
        <f>LEFT(B2,2)</f>
        <v>28</v>
      </c>
      <c r="B2" s="7" t="s">
        <v>9</v>
      </c>
      <c r="C2" s="8" t="str">
        <f>RIGHT(B2,2)</f>
        <v>US</v>
      </c>
      <c r="D2" s="8" t="str">
        <f>MID(B2,4,3)</f>
        <v>JAN</v>
      </c>
      <c r="E2" s="9" t="s">
        <v>10</v>
      </c>
      <c r="F2" s="9" t="s">
        <v>11</v>
      </c>
      <c r="G2" s="9">
        <v>1000</v>
      </c>
      <c r="H2" s="9" t="str">
        <f>IF(G2&gt;500,"HIGH","STANDERED")</f>
        <v>HIGH</v>
      </c>
      <c r="I2" s="9">
        <v>30</v>
      </c>
      <c r="J2" s="10" t="s">
        <v>12</v>
      </c>
    </row>
    <row r="3" spans="1:13">
      <c r="A3" s="6" t="str">
        <f t="shared" ref="A3:A35" si="0">LEFT(B3,2)</f>
        <v>15</v>
      </c>
      <c r="B3" s="11" t="s">
        <v>13</v>
      </c>
      <c r="C3" s="8" t="str">
        <f t="shared" ref="C3:C35" si="1">RIGHT(B3,2)</f>
        <v>US</v>
      </c>
      <c r="D3" s="8" t="str">
        <f t="shared" ref="D3:D35" si="2">MID(B3,4,3)</f>
        <v>FEB</v>
      </c>
      <c r="E3" s="12" t="s">
        <v>14</v>
      </c>
      <c r="F3" s="12" t="s">
        <v>15</v>
      </c>
      <c r="G3" s="12">
        <v>80</v>
      </c>
      <c r="H3" s="9" t="str">
        <f>IF(G3&gt;500,"HIGH","STANDERED")</f>
        <v>STANDERED</v>
      </c>
      <c r="I3" s="12">
        <v>15</v>
      </c>
      <c r="J3" s="13" t="s">
        <v>16</v>
      </c>
      <c r="K3" s="1">
        <v>1</v>
      </c>
      <c r="L3" s="1" t="s">
        <v>17</v>
      </c>
    </row>
    <row r="4" spans="1:13">
      <c r="A4" s="6" t="str">
        <f t="shared" si="0"/>
        <v>03</v>
      </c>
      <c r="B4" s="7" t="s">
        <v>18</v>
      </c>
      <c r="C4" s="8" t="str">
        <f t="shared" si="1"/>
        <v>US</v>
      </c>
      <c r="D4" s="8" t="str">
        <f t="shared" si="2"/>
        <v>MAR</v>
      </c>
      <c r="E4" s="9" t="s">
        <v>19</v>
      </c>
      <c r="F4" s="9" t="s">
        <v>20</v>
      </c>
      <c r="G4" s="9">
        <v>130</v>
      </c>
      <c r="H4" s="9" t="str">
        <f t="shared" ref="H3:H35" si="3">IF(G4&gt;500,"HIGH","STANDERED")</f>
        <v>STANDERED</v>
      </c>
      <c r="I4" s="9">
        <v>40</v>
      </c>
      <c r="J4" s="10" t="s">
        <v>21</v>
      </c>
      <c r="L4" s="6" t="s">
        <v>22</v>
      </c>
      <c r="M4" s="6">
        <f>SUM(G2:G35)</f>
        <v>10100</v>
      </c>
    </row>
    <row r="5" spans="1:13">
      <c r="A5" s="6" t="str">
        <f t="shared" si="0"/>
        <v>11</v>
      </c>
      <c r="B5" s="11" t="s">
        <v>23</v>
      </c>
      <c r="C5" s="8" t="str">
        <f t="shared" si="1"/>
        <v>US</v>
      </c>
      <c r="D5" s="8" t="str">
        <f t="shared" si="2"/>
        <v>APR</v>
      </c>
      <c r="E5" s="12" t="s">
        <v>24</v>
      </c>
      <c r="F5" s="12" t="s">
        <v>25</v>
      </c>
      <c r="G5" s="12">
        <v>900</v>
      </c>
      <c r="H5" s="9" t="str">
        <f t="shared" si="3"/>
        <v>HIGH</v>
      </c>
      <c r="I5" s="12">
        <v>25</v>
      </c>
      <c r="J5" s="13" t="s">
        <v>12</v>
      </c>
      <c r="L5" s="6" t="s">
        <v>26</v>
      </c>
      <c r="M5" s="6">
        <f>COUNTA(I2:I35)</f>
        <v>34</v>
      </c>
    </row>
    <row r="6" spans="1:13">
      <c r="A6" s="6" t="str">
        <f t="shared" si="0"/>
        <v>22</v>
      </c>
      <c r="B6" s="7" t="s">
        <v>27</v>
      </c>
      <c r="C6" s="8" t="str">
        <f t="shared" si="1"/>
        <v>US</v>
      </c>
      <c r="D6" s="8" t="str">
        <f t="shared" si="2"/>
        <v>MAY</v>
      </c>
      <c r="E6" s="9" t="s">
        <v>28</v>
      </c>
      <c r="F6" s="9" t="s">
        <v>29</v>
      </c>
      <c r="G6" s="9">
        <v>70</v>
      </c>
      <c r="H6" s="9" t="str">
        <f t="shared" si="3"/>
        <v>STANDERED</v>
      </c>
      <c r="I6" s="9">
        <v>20</v>
      </c>
      <c r="J6" s="10" t="s">
        <v>30</v>
      </c>
      <c r="L6" s="6" t="s">
        <v>31</v>
      </c>
      <c r="M6" s="6">
        <f>AVERAGE(G2:G35)</f>
        <v>297.05882352941177</v>
      </c>
    </row>
    <row r="7" spans="1:13">
      <c r="A7" s="6" t="str">
        <f t="shared" si="0"/>
        <v>07</v>
      </c>
      <c r="B7" s="11" t="s">
        <v>32</v>
      </c>
      <c r="C7" s="8" t="str">
        <f t="shared" si="1"/>
        <v>UK</v>
      </c>
      <c r="D7" s="8" t="str">
        <f t="shared" si="2"/>
        <v>JUN</v>
      </c>
      <c r="E7" s="12" t="s">
        <v>33</v>
      </c>
      <c r="F7" s="12" t="s">
        <v>34</v>
      </c>
      <c r="G7" s="12">
        <v>200</v>
      </c>
      <c r="H7" s="9" t="str">
        <f t="shared" si="3"/>
        <v>STANDERED</v>
      </c>
      <c r="I7" s="12">
        <v>45</v>
      </c>
      <c r="J7" s="13" t="s">
        <v>12</v>
      </c>
    </row>
    <row r="8" spans="1:13">
      <c r="A8" s="6" t="str">
        <f t="shared" si="0"/>
        <v>19</v>
      </c>
      <c r="B8" s="7" t="s">
        <v>35</v>
      </c>
      <c r="C8" s="8" t="str">
        <f t="shared" si="1"/>
        <v>UK</v>
      </c>
      <c r="D8" s="8" t="str">
        <f t="shared" si="2"/>
        <v>JUL</v>
      </c>
      <c r="E8" s="9" t="s">
        <v>36</v>
      </c>
      <c r="F8" s="9" t="s">
        <v>37</v>
      </c>
      <c r="G8" s="9">
        <v>30</v>
      </c>
      <c r="H8" s="9" t="str">
        <f t="shared" si="3"/>
        <v>STANDERED</v>
      </c>
      <c r="I8" s="9">
        <v>5</v>
      </c>
      <c r="J8" s="10" t="s">
        <v>16</v>
      </c>
      <c r="K8" s="1">
        <v>2</v>
      </c>
      <c r="L8" s="1" t="s">
        <v>38</v>
      </c>
    </row>
    <row r="9" spans="1:13">
      <c r="A9" s="6" t="str">
        <f t="shared" si="0"/>
        <v>23</v>
      </c>
      <c r="B9" s="11" t="s">
        <v>39</v>
      </c>
      <c r="C9" s="8" t="str">
        <f t="shared" si="1"/>
        <v>UK</v>
      </c>
      <c r="D9" s="8" t="str">
        <f t="shared" si="2"/>
        <v>AUG</v>
      </c>
      <c r="E9" s="12" t="s">
        <v>40</v>
      </c>
      <c r="F9" s="12" t="s">
        <v>41</v>
      </c>
      <c r="G9" s="12">
        <v>90</v>
      </c>
      <c r="H9" s="9" t="str">
        <f t="shared" si="3"/>
        <v>STANDERED</v>
      </c>
      <c r="I9" s="12">
        <v>35</v>
      </c>
      <c r="J9" s="13" t="s">
        <v>21</v>
      </c>
      <c r="L9" s="6" t="s">
        <v>42</v>
      </c>
      <c r="M9" s="6">
        <f>MIN(G2:G35)</f>
        <v>30</v>
      </c>
    </row>
    <row r="10" spans="1:13">
      <c r="A10" s="6" t="str">
        <f t="shared" si="0"/>
        <v>05</v>
      </c>
      <c r="B10" s="7" t="s">
        <v>43</v>
      </c>
      <c r="C10" s="8" t="str">
        <f t="shared" si="1"/>
        <v>UK</v>
      </c>
      <c r="D10" s="8" t="str">
        <f t="shared" si="2"/>
        <v>SEP</v>
      </c>
      <c r="E10" s="9" t="s">
        <v>44</v>
      </c>
      <c r="F10" s="9" t="s">
        <v>45</v>
      </c>
      <c r="G10" s="9">
        <v>500</v>
      </c>
      <c r="H10" s="9" t="str">
        <f>IF(G10&gt;500,"HIGH","STANDERED")</f>
        <v>STANDERED</v>
      </c>
      <c r="I10" s="9">
        <v>50</v>
      </c>
      <c r="J10" s="10" t="s">
        <v>12</v>
      </c>
      <c r="L10" s="6" t="s">
        <v>46</v>
      </c>
      <c r="M10" s="6">
        <f>MAX(G2:G35)</f>
        <v>1000</v>
      </c>
    </row>
    <row r="11" spans="1:13">
      <c r="A11" s="6" t="str">
        <f t="shared" si="0"/>
        <v>14</v>
      </c>
      <c r="B11" s="11" t="s">
        <v>47</v>
      </c>
      <c r="C11" s="8" t="str">
        <f t="shared" si="1"/>
        <v>UK</v>
      </c>
      <c r="D11" s="8" t="str">
        <f t="shared" si="2"/>
        <v>OCT</v>
      </c>
      <c r="E11" s="12" t="s">
        <v>48</v>
      </c>
      <c r="F11" s="12" t="s">
        <v>49</v>
      </c>
      <c r="G11" s="12">
        <v>130</v>
      </c>
      <c r="H11" s="9" t="str">
        <f t="shared" si="3"/>
        <v>STANDERED</v>
      </c>
      <c r="I11" s="12">
        <v>10</v>
      </c>
      <c r="J11" s="13" t="s">
        <v>30</v>
      </c>
    </row>
    <row r="12" spans="1:13">
      <c r="A12" s="6" t="str">
        <f t="shared" si="0"/>
        <v>17</v>
      </c>
      <c r="B12" s="7" t="s">
        <v>50</v>
      </c>
      <c r="C12" s="8" t="str">
        <f t="shared" si="1"/>
        <v>IN</v>
      </c>
      <c r="D12" s="8" t="str">
        <f t="shared" si="2"/>
        <v>JUN</v>
      </c>
      <c r="E12" s="9" t="s">
        <v>10</v>
      </c>
      <c r="F12" s="9" t="s">
        <v>51</v>
      </c>
      <c r="G12" s="9">
        <v>950</v>
      </c>
      <c r="H12" s="9" t="str">
        <f t="shared" si="3"/>
        <v>HIGH</v>
      </c>
      <c r="I12" s="9">
        <v>25</v>
      </c>
      <c r="J12" s="10" t="s">
        <v>12</v>
      </c>
      <c r="K12" s="1">
        <v>3</v>
      </c>
      <c r="L12" s="1" t="s">
        <v>52</v>
      </c>
    </row>
    <row r="13" spans="1:13">
      <c r="A13" s="6" t="str">
        <f t="shared" si="0"/>
        <v>25</v>
      </c>
      <c r="B13" s="11" t="s">
        <v>53</v>
      </c>
      <c r="C13" s="8" t="str">
        <f t="shared" si="1"/>
        <v>AU</v>
      </c>
      <c r="D13" s="8" t="str">
        <f t="shared" si="2"/>
        <v>NOV</v>
      </c>
      <c r="E13" s="12" t="s">
        <v>14</v>
      </c>
      <c r="F13" s="12" t="s">
        <v>37</v>
      </c>
      <c r="G13" s="12">
        <v>90</v>
      </c>
      <c r="H13" s="9" t="str">
        <f t="shared" si="3"/>
        <v>STANDERED</v>
      </c>
      <c r="I13" s="12">
        <v>40</v>
      </c>
      <c r="J13" s="13" t="s">
        <v>16</v>
      </c>
    </row>
    <row r="14" spans="1:13">
      <c r="A14" s="6" t="str">
        <f t="shared" si="0"/>
        <v>08</v>
      </c>
      <c r="B14" s="7" t="s">
        <v>54</v>
      </c>
      <c r="C14" s="8" t="str">
        <f t="shared" si="1"/>
        <v>DE</v>
      </c>
      <c r="D14" s="8" t="str">
        <f t="shared" si="2"/>
        <v>DEC</v>
      </c>
      <c r="E14" s="9" t="s">
        <v>19</v>
      </c>
      <c r="F14" s="9" t="s">
        <v>55</v>
      </c>
      <c r="G14" s="9">
        <v>120</v>
      </c>
      <c r="H14" s="9" t="str">
        <f t="shared" si="3"/>
        <v>STANDERED</v>
      </c>
      <c r="I14" s="9">
        <v>35</v>
      </c>
      <c r="J14" s="10" t="s">
        <v>21</v>
      </c>
      <c r="K14" s="1">
        <v>4</v>
      </c>
      <c r="L14" s="1" t="s">
        <v>56</v>
      </c>
    </row>
    <row r="15" spans="1:13">
      <c r="A15" s="6" t="str">
        <f t="shared" si="0"/>
        <v>18</v>
      </c>
      <c r="B15" s="11" t="s">
        <v>57</v>
      </c>
      <c r="C15" s="8" t="str">
        <f t="shared" si="1"/>
        <v>CA</v>
      </c>
      <c r="D15" s="8" t="str">
        <f t="shared" si="2"/>
        <v>FEB</v>
      </c>
      <c r="E15" s="12" t="s">
        <v>58</v>
      </c>
      <c r="F15" s="12" t="s">
        <v>59</v>
      </c>
      <c r="G15" s="12">
        <v>150</v>
      </c>
      <c r="H15" s="9" t="str">
        <f t="shared" si="3"/>
        <v>STANDERED</v>
      </c>
      <c r="I15" s="12">
        <v>15</v>
      </c>
      <c r="J15" s="13" t="s">
        <v>12</v>
      </c>
      <c r="L15" s="6" t="s">
        <v>60</v>
      </c>
      <c r="M15" s="6">
        <f>SUMIF(J2:J35,"Electronics",G2:G35)</f>
        <v>8050</v>
      </c>
    </row>
    <row r="16" spans="1:13">
      <c r="A16" s="6" t="str">
        <f t="shared" si="0"/>
        <v>16</v>
      </c>
      <c r="B16" s="7" t="s">
        <v>61</v>
      </c>
      <c r="C16" s="8" t="str">
        <f t="shared" si="1"/>
        <v>ES</v>
      </c>
      <c r="D16" s="8" t="str">
        <f t="shared" si="2"/>
        <v>APR</v>
      </c>
      <c r="E16" s="9" t="s">
        <v>33</v>
      </c>
      <c r="F16" s="9" t="s">
        <v>62</v>
      </c>
      <c r="G16" s="9">
        <v>250</v>
      </c>
      <c r="H16" s="9" t="str">
        <f t="shared" si="3"/>
        <v>STANDERED</v>
      </c>
      <c r="I16" s="9">
        <v>20</v>
      </c>
      <c r="J16" s="10" t="s">
        <v>12</v>
      </c>
      <c r="L16" s="6" t="s">
        <v>63</v>
      </c>
      <c r="M16" s="6">
        <f>COUNTIF(G2:G35,"&lt;100")</f>
        <v>11</v>
      </c>
    </row>
    <row r="17" spans="1:12">
      <c r="A17" s="6" t="str">
        <f t="shared" si="0"/>
        <v>21</v>
      </c>
      <c r="B17" s="11" t="s">
        <v>64</v>
      </c>
      <c r="C17" s="8" t="str">
        <f t="shared" si="1"/>
        <v>CA</v>
      </c>
      <c r="D17" s="8" t="str">
        <f t="shared" si="2"/>
        <v>AUG</v>
      </c>
      <c r="E17" s="12" t="s">
        <v>65</v>
      </c>
      <c r="F17" s="12" t="s">
        <v>66</v>
      </c>
      <c r="G17" s="12">
        <v>50</v>
      </c>
      <c r="H17" s="9" t="str">
        <f t="shared" si="3"/>
        <v>STANDERED</v>
      </c>
      <c r="I17" s="12">
        <v>35</v>
      </c>
      <c r="J17" s="13" t="s">
        <v>67</v>
      </c>
    </row>
    <row r="18" spans="1:12">
      <c r="A18" s="6" t="str">
        <f t="shared" si="0"/>
        <v>20</v>
      </c>
      <c r="B18" s="7" t="s">
        <v>68</v>
      </c>
      <c r="C18" s="8" t="str">
        <f t="shared" si="1"/>
        <v>CN</v>
      </c>
      <c r="D18" s="8" t="str">
        <f t="shared" si="2"/>
        <v>AUG</v>
      </c>
      <c r="E18" s="9" t="s">
        <v>58</v>
      </c>
      <c r="F18" s="9" t="s">
        <v>69</v>
      </c>
      <c r="G18" s="9">
        <v>160</v>
      </c>
      <c r="H18" s="9" t="str">
        <f t="shared" si="3"/>
        <v>STANDERED</v>
      </c>
      <c r="I18" s="9">
        <v>15</v>
      </c>
      <c r="J18" s="10" t="s">
        <v>12</v>
      </c>
      <c r="K18" s="1">
        <v>5</v>
      </c>
      <c r="L18" s="14" t="s">
        <v>70</v>
      </c>
    </row>
    <row r="19" spans="1:12">
      <c r="A19" s="6" t="str">
        <f t="shared" si="0"/>
        <v>27</v>
      </c>
      <c r="B19" s="11" t="s">
        <v>71</v>
      </c>
      <c r="C19" s="8" t="str">
        <f t="shared" si="1"/>
        <v>IT</v>
      </c>
      <c r="D19" s="8" t="str">
        <f t="shared" si="2"/>
        <v>JAN</v>
      </c>
      <c r="E19" s="12" t="s">
        <v>10</v>
      </c>
      <c r="F19" s="12" t="s">
        <v>72</v>
      </c>
      <c r="G19" s="12">
        <v>980</v>
      </c>
      <c r="H19" s="9" t="str">
        <f t="shared" si="3"/>
        <v>HIGH</v>
      </c>
      <c r="I19" s="12">
        <v>10</v>
      </c>
      <c r="J19" s="13" t="s">
        <v>12</v>
      </c>
    </row>
    <row r="20" spans="1:12">
      <c r="A20" s="6" t="str">
        <f t="shared" si="0"/>
        <v>01</v>
      </c>
      <c r="B20" s="7" t="s">
        <v>73</v>
      </c>
      <c r="C20" s="8" t="str">
        <f t="shared" si="1"/>
        <v>UK</v>
      </c>
      <c r="D20" s="8" t="str">
        <f t="shared" si="2"/>
        <v>MAR</v>
      </c>
      <c r="E20" s="9" t="s">
        <v>74</v>
      </c>
      <c r="F20" s="9" t="s">
        <v>75</v>
      </c>
      <c r="G20" s="9">
        <v>150</v>
      </c>
      <c r="H20" s="9" t="str">
        <f t="shared" si="3"/>
        <v>STANDERED</v>
      </c>
      <c r="I20" s="9">
        <v>15</v>
      </c>
      <c r="J20" s="10" t="s">
        <v>16</v>
      </c>
    </row>
    <row r="21" spans="1:12">
      <c r="A21" s="6" t="str">
        <f t="shared" si="0"/>
        <v>14</v>
      </c>
      <c r="B21" s="11" t="s">
        <v>76</v>
      </c>
      <c r="C21" s="8" t="str">
        <f t="shared" si="1"/>
        <v>US</v>
      </c>
      <c r="D21" s="8" t="str">
        <f t="shared" si="2"/>
        <v>AUG</v>
      </c>
      <c r="E21" s="12" t="s">
        <v>77</v>
      </c>
      <c r="F21" s="12" t="s">
        <v>78</v>
      </c>
      <c r="G21" s="12">
        <v>200</v>
      </c>
      <c r="H21" s="9" t="str">
        <f t="shared" si="3"/>
        <v>STANDERED</v>
      </c>
      <c r="I21" s="12">
        <v>10</v>
      </c>
      <c r="J21" s="13" t="s">
        <v>30</v>
      </c>
    </row>
    <row r="22" spans="1:12">
      <c r="A22" s="6" t="str">
        <f t="shared" si="0"/>
        <v>14</v>
      </c>
      <c r="B22" s="7" t="s">
        <v>79</v>
      </c>
      <c r="C22" s="8" t="str">
        <f t="shared" si="1"/>
        <v>RU</v>
      </c>
      <c r="D22" s="8" t="str">
        <f t="shared" si="2"/>
        <v>MAY</v>
      </c>
      <c r="E22" s="9" t="s">
        <v>80</v>
      </c>
      <c r="F22" s="9" t="s">
        <v>81</v>
      </c>
      <c r="G22" s="9">
        <v>700</v>
      </c>
      <c r="H22" s="9" t="str">
        <f t="shared" si="3"/>
        <v>HIGH</v>
      </c>
      <c r="I22" s="9">
        <v>50</v>
      </c>
      <c r="J22" s="10" t="s">
        <v>12</v>
      </c>
    </row>
    <row r="23" spans="1:12">
      <c r="A23" s="6" t="str">
        <f t="shared" si="0"/>
        <v>09</v>
      </c>
      <c r="B23" s="11" t="s">
        <v>82</v>
      </c>
      <c r="C23" s="8" t="str">
        <f t="shared" si="1"/>
        <v>CA</v>
      </c>
      <c r="D23" s="8" t="str">
        <f t="shared" si="2"/>
        <v>JAN</v>
      </c>
      <c r="E23" s="12" t="s">
        <v>83</v>
      </c>
      <c r="F23" s="12" t="s">
        <v>84</v>
      </c>
      <c r="G23" s="12">
        <v>80</v>
      </c>
      <c r="H23" s="9" t="str">
        <f t="shared" si="3"/>
        <v>STANDERED</v>
      </c>
      <c r="I23" s="12">
        <v>20</v>
      </c>
      <c r="J23" s="13" t="s">
        <v>21</v>
      </c>
    </row>
    <row r="24" spans="1:12">
      <c r="A24" s="6" t="str">
        <f t="shared" si="0"/>
        <v>19</v>
      </c>
      <c r="B24" s="7" t="s">
        <v>85</v>
      </c>
      <c r="C24" s="8" t="str">
        <f t="shared" si="1"/>
        <v>BR</v>
      </c>
      <c r="D24" s="8" t="str">
        <f t="shared" si="2"/>
        <v>JUL</v>
      </c>
      <c r="E24" s="9" t="s">
        <v>86</v>
      </c>
      <c r="F24" s="9" t="s">
        <v>87</v>
      </c>
      <c r="G24" s="9">
        <v>150</v>
      </c>
      <c r="H24" s="9" t="str">
        <f t="shared" si="3"/>
        <v>STANDERED</v>
      </c>
      <c r="I24" s="9">
        <v>30</v>
      </c>
      <c r="J24" s="10" t="s">
        <v>12</v>
      </c>
    </row>
    <row r="25" spans="1:12">
      <c r="A25" s="6" t="str">
        <f t="shared" si="0"/>
        <v>21</v>
      </c>
      <c r="B25" s="11" t="s">
        <v>64</v>
      </c>
      <c r="C25" s="8" t="str">
        <f t="shared" si="1"/>
        <v>CA</v>
      </c>
      <c r="D25" s="8" t="str">
        <f t="shared" si="2"/>
        <v>AUG</v>
      </c>
      <c r="E25" s="12" t="s">
        <v>65</v>
      </c>
      <c r="F25" s="12" t="s">
        <v>66</v>
      </c>
      <c r="G25" s="12">
        <v>50</v>
      </c>
      <c r="H25" s="9" t="str">
        <f t="shared" si="3"/>
        <v>STANDERED</v>
      </c>
      <c r="I25" s="12">
        <v>35</v>
      </c>
      <c r="J25" s="13" t="s">
        <v>67</v>
      </c>
    </row>
    <row r="26" spans="1:12">
      <c r="A26" s="6" t="str">
        <f t="shared" si="0"/>
        <v>29</v>
      </c>
      <c r="B26" s="7" t="s">
        <v>88</v>
      </c>
      <c r="C26" s="8" t="str">
        <f t="shared" si="1"/>
        <v>CA</v>
      </c>
      <c r="D26" s="8" t="str">
        <f t="shared" si="2"/>
        <v>SEP</v>
      </c>
      <c r="E26" s="9" t="s">
        <v>24</v>
      </c>
      <c r="F26" s="9" t="s">
        <v>89</v>
      </c>
      <c r="G26" s="9">
        <v>800</v>
      </c>
      <c r="H26" s="9" t="str">
        <f t="shared" si="3"/>
        <v>HIGH</v>
      </c>
      <c r="I26" s="9">
        <v>45</v>
      </c>
      <c r="J26" s="10" t="s">
        <v>12</v>
      </c>
    </row>
    <row r="27" spans="1:12">
      <c r="A27" s="6" t="str">
        <f t="shared" si="0"/>
        <v>03</v>
      </c>
      <c r="B27" s="11" t="s">
        <v>90</v>
      </c>
      <c r="C27" s="8" t="str">
        <f t="shared" si="1"/>
        <v>CA</v>
      </c>
      <c r="D27" s="8" t="str">
        <f t="shared" si="2"/>
        <v>JUN</v>
      </c>
      <c r="E27" s="12" t="s">
        <v>74</v>
      </c>
      <c r="F27" s="12" t="s">
        <v>91</v>
      </c>
      <c r="G27" s="12">
        <v>130</v>
      </c>
      <c r="H27" s="9" t="str">
        <f t="shared" si="3"/>
        <v>STANDERED</v>
      </c>
      <c r="I27" s="12">
        <v>25</v>
      </c>
      <c r="J27" s="13" t="s">
        <v>16</v>
      </c>
    </row>
    <row r="28" spans="1:12">
      <c r="A28" s="6" t="str">
        <f t="shared" si="0"/>
        <v>11</v>
      </c>
      <c r="B28" s="7" t="s">
        <v>92</v>
      </c>
      <c r="C28" s="8" t="str">
        <f t="shared" si="1"/>
        <v>CA</v>
      </c>
      <c r="D28" s="8" t="str">
        <f t="shared" si="2"/>
        <v>JUL</v>
      </c>
      <c r="E28" s="9" t="s">
        <v>40</v>
      </c>
      <c r="F28" s="9" t="s">
        <v>93</v>
      </c>
      <c r="G28" s="9">
        <v>400</v>
      </c>
      <c r="H28" s="9" t="str">
        <f t="shared" si="3"/>
        <v>STANDERED</v>
      </c>
      <c r="I28" s="9">
        <v>40</v>
      </c>
      <c r="J28" s="10" t="s">
        <v>21</v>
      </c>
    </row>
    <row r="29" spans="1:12">
      <c r="A29" s="6" t="str">
        <f t="shared" si="0"/>
        <v>16</v>
      </c>
      <c r="B29" s="11" t="s">
        <v>61</v>
      </c>
      <c r="C29" s="8" t="str">
        <f t="shared" si="1"/>
        <v>ES</v>
      </c>
      <c r="D29" s="8" t="str">
        <f t="shared" si="2"/>
        <v>APR</v>
      </c>
      <c r="E29" s="12" t="s">
        <v>33</v>
      </c>
      <c r="F29" s="12" t="s">
        <v>62</v>
      </c>
      <c r="G29" s="12">
        <v>230</v>
      </c>
      <c r="H29" s="9" t="str">
        <f t="shared" si="3"/>
        <v>STANDERED</v>
      </c>
      <c r="I29" s="12">
        <v>20</v>
      </c>
      <c r="J29" s="13" t="s">
        <v>12</v>
      </c>
    </row>
    <row r="30" spans="1:12">
      <c r="A30" s="6" t="str">
        <f t="shared" si="0"/>
        <v>07</v>
      </c>
      <c r="B30" s="7" t="s">
        <v>94</v>
      </c>
      <c r="C30" s="8" t="str">
        <f t="shared" si="1"/>
        <v>CA</v>
      </c>
      <c r="D30" s="8" t="str">
        <f t="shared" si="2"/>
        <v>MAR</v>
      </c>
      <c r="E30" s="9" t="s">
        <v>95</v>
      </c>
      <c r="F30" s="9" t="s">
        <v>96</v>
      </c>
      <c r="G30" s="9">
        <v>60</v>
      </c>
      <c r="H30" s="9" t="str">
        <f t="shared" si="3"/>
        <v>STANDERED</v>
      </c>
      <c r="I30" s="9">
        <v>30</v>
      </c>
      <c r="J30" s="10" t="s">
        <v>16</v>
      </c>
    </row>
    <row r="31" spans="1:12">
      <c r="A31" s="6" t="str">
        <f t="shared" si="0"/>
        <v>13</v>
      </c>
      <c r="B31" s="11" t="s">
        <v>97</v>
      </c>
      <c r="C31" s="8" t="str">
        <f t="shared" si="1"/>
        <v>CA</v>
      </c>
      <c r="D31" s="8" t="str">
        <f t="shared" si="2"/>
        <v>APR</v>
      </c>
      <c r="E31" s="12" t="s">
        <v>98</v>
      </c>
      <c r="F31" s="12" t="s">
        <v>99</v>
      </c>
      <c r="G31" s="12">
        <v>40</v>
      </c>
      <c r="H31" s="9" t="str">
        <f t="shared" si="3"/>
        <v>STANDERED</v>
      </c>
      <c r="I31" s="12">
        <v>10</v>
      </c>
      <c r="J31" s="13" t="s">
        <v>21</v>
      </c>
    </row>
    <row r="32" spans="1:12">
      <c r="A32" s="6" t="str">
        <f t="shared" si="0"/>
        <v>24</v>
      </c>
      <c r="B32" s="7" t="s">
        <v>100</v>
      </c>
      <c r="C32" s="8" t="str">
        <f t="shared" si="1"/>
        <v>CA</v>
      </c>
      <c r="D32" s="8" t="str">
        <f t="shared" si="2"/>
        <v>MAY</v>
      </c>
      <c r="E32" s="9" t="s">
        <v>86</v>
      </c>
      <c r="F32" s="9" t="s">
        <v>101</v>
      </c>
      <c r="G32" s="9">
        <v>130</v>
      </c>
      <c r="H32" s="9" t="str">
        <f t="shared" si="3"/>
        <v>STANDERED</v>
      </c>
      <c r="I32" s="9">
        <v>5</v>
      </c>
      <c r="J32" s="10" t="s">
        <v>12</v>
      </c>
    </row>
    <row r="33" spans="1:10">
      <c r="A33" s="6" t="str">
        <f t="shared" si="0"/>
        <v>02</v>
      </c>
      <c r="B33" s="11" t="s">
        <v>102</v>
      </c>
      <c r="C33" s="8" t="str">
        <f t="shared" si="1"/>
        <v>CA</v>
      </c>
      <c r="D33" s="8" t="str">
        <f t="shared" si="2"/>
        <v>DEC</v>
      </c>
      <c r="E33" s="12" t="s">
        <v>103</v>
      </c>
      <c r="F33" s="12" t="s">
        <v>104</v>
      </c>
      <c r="G33" s="12">
        <v>50</v>
      </c>
      <c r="H33" s="9" t="str">
        <f t="shared" si="3"/>
        <v>STANDERED</v>
      </c>
      <c r="I33" s="12">
        <v>50</v>
      </c>
      <c r="J33" s="13" t="s">
        <v>16</v>
      </c>
    </row>
    <row r="34" spans="1:10">
      <c r="A34" s="6" t="str">
        <f t="shared" si="0"/>
        <v>17</v>
      </c>
      <c r="B34" s="7" t="s">
        <v>50</v>
      </c>
      <c r="C34" s="8" t="str">
        <f t="shared" si="1"/>
        <v>IN</v>
      </c>
      <c r="D34" s="8" t="str">
        <f t="shared" si="2"/>
        <v>JUN</v>
      </c>
      <c r="E34" s="9" t="s">
        <v>10</v>
      </c>
      <c r="F34" s="9" t="s">
        <v>51</v>
      </c>
      <c r="G34" s="9">
        <v>950</v>
      </c>
      <c r="H34" s="9" t="str">
        <f t="shared" si="3"/>
        <v>HIGH</v>
      </c>
      <c r="I34" s="9">
        <v>25</v>
      </c>
      <c r="J34" s="10" t="s">
        <v>12</v>
      </c>
    </row>
    <row r="35" spans="1:10">
      <c r="A35" s="6" t="str">
        <f t="shared" si="0"/>
        <v>09</v>
      </c>
      <c r="B35" s="15" t="s">
        <v>105</v>
      </c>
      <c r="C35" s="8" t="str">
        <f t="shared" si="1"/>
        <v>FR</v>
      </c>
      <c r="D35" s="8" t="str">
        <f t="shared" si="2"/>
        <v>JUL</v>
      </c>
      <c r="E35" s="16" t="s">
        <v>106</v>
      </c>
      <c r="F35" s="16" t="s">
        <v>107</v>
      </c>
      <c r="G35" s="16">
        <v>100</v>
      </c>
      <c r="H35" s="9" t="str">
        <f t="shared" si="3"/>
        <v>STANDERED</v>
      </c>
      <c r="I35" s="16">
        <v>20</v>
      </c>
      <c r="J35" s="1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Maheswari Dev</cp:lastModifiedBy>
  <cp:revision/>
  <dcterms:created xsi:type="dcterms:W3CDTF">2026-09-15T08:07:35Z</dcterms:created>
  <dcterms:modified xsi:type="dcterms:W3CDTF">2026-09-17T06:23:59Z</dcterms:modified>
  <cp:category/>
  <cp:contentStatus/>
</cp:coreProperties>
</file>